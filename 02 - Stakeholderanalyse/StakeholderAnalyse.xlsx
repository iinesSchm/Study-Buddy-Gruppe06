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Dev\Study-Buddy-Gruppe06\02 - Stakeholderanalyse\"/>
    </mc:Choice>
  </mc:AlternateContent>
  <xr:revisionPtr revIDLastSave="0" documentId="13_ncr:1_{C6ABBC09-6452-444F-8995-24015B8A94CC}" xr6:coauthVersionLast="47" xr6:coauthVersionMax="47" xr10:uidLastSave="{00000000-0000-0000-0000-000000000000}"/>
  <bookViews>
    <workbookView xWindow="2340" yWindow="2340" windowWidth="38700" windowHeight="15345" xr2:uid="{09E038EE-F597-412F-87BA-8876B6EC60A2}"/>
  </bookViews>
  <sheets>
    <sheet name="Stakeholder Analyse" sheetId="10" r:id="rId1"/>
  </sheets>
  <definedNames>
    <definedName name="_xlnm._FilterDatabase" localSheetId="0" hidden="1">'Stakeholder Analyse'!$B$6:$G$14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7" i="10" l="1"/>
  <c r="G8" i="10"/>
  <c r="G9" i="10"/>
  <c r="G10" i="10"/>
  <c r="G11" i="10"/>
  <c r="G12" i="10"/>
  <c r="G13" i="10"/>
  <c r="G1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Schmuck-Längle Franziska</author>
  </authors>
  <commentList>
    <comment ref="D6" authorId="0" shapeId="0" xr:uid="{9644EC2D-4347-4242-8836-A7CD6CF1DF9D}">
      <text>
        <r>
          <rPr>
            <sz val="9"/>
            <color indexed="81"/>
            <rFont val="Segoe UI"/>
            <family val="2"/>
          </rPr>
          <t xml:space="preserve"> 
Wie sehr betrifft 
mich die Veränderung?
</t>
        </r>
      </text>
    </comment>
    <comment ref="E6" authorId="0" shapeId="0" xr:uid="{FABB1418-BBC0-44AD-B194-A184AC4BDFE5}">
      <text>
        <r>
          <rPr>
            <b/>
            <sz val="9"/>
            <color indexed="81"/>
            <rFont val="Segoe UI"/>
            <family val="2"/>
          </rPr>
          <t xml:space="preserve">
</t>
        </r>
        <r>
          <rPr>
            <sz val="9"/>
            <color indexed="81"/>
            <rFont val="Segoe UI"/>
            <family val="2"/>
          </rPr>
          <t xml:space="preserve">Wie stark ist meine Einfluss-nahme auf die Veränderung und ihren positiven Verlauf? </t>
        </r>
      </text>
    </comment>
  </commentList>
</comments>
</file>

<file path=xl/sharedStrings.xml><?xml version="1.0" encoding="utf-8"?>
<sst xmlns="http://schemas.openxmlformats.org/spreadsheetml/2006/main" count="24" uniqueCount="23">
  <si>
    <t>Stakeholder Analyse</t>
  </si>
  <si>
    <t>Begründung</t>
  </si>
  <si>
    <t>Auswirkung
(0-10)</t>
  </si>
  <si>
    <t>Einfluss
(0-10)</t>
  </si>
  <si>
    <t>Risiko fehlende Einbindung
(0-10)</t>
  </si>
  <si>
    <t>Handlungs-bedarf
(= Einfluss - Auswirkung)</t>
  </si>
  <si>
    <t>Mittel-Achsen:</t>
  </si>
  <si>
    <t>Studierendenvertretung</t>
  </si>
  <si>
    <t>Studiengangsleitung</t>
  </si>
  <si>
    <t>Datenschutz &amp; Informationssicherheit</t>
  </si>
  <si>
    <t>Studierende</t>
  </si>
  <si>
    <t xml:space="preserve">Interessen: 
Compliance mit DSGVO und anderen relevanten Richtlinien und gesetzlichen Vorgaben.
Monitoring Möglichkeit um die Compliance inspizieren zu können. 
Zugriff auf detaillilerte Logs und Datenaudittrails um Nachforschungen anstellen zu können.
Konflikte:
Innovation versus compliance. Features können teilweile nicht implementiert werden, auch wenn die Anforderungen wichtig sind aber mit Compliance-Regeln in Widerspruch stehen. 
Perspektive:
Kein aktiver Benutzer des Systems im operative Sinne, aber benötigt Zugriff auf Monitoring und Kontrollfunktionen betreffend des Systems. 
Einschränkung: zu prüfen, ob ein Account im FH System besteht und welches Autorisierungslevel genehmigt und benötigt wird. </t>
  </si>
  <si>
    <t>Interessen: 
Wollen Study Buddy in den bestehenden Online Campus integrieren anstatt eigene Plattform aufzubauen. Gründe sind vor allem, den Aufbau-, Betriebs- und Wartungsaufwand gering zu halten, da Ressourcen begrenzt sind. Zudem haben sie die Anforderung, die technische Machbarkeit von Funktionen erst zu prüfen, bevor Zusagen gemacht werden.
Konflikte: 
Mehr Funktionen bedeuten mehr Aufwand, für den eventuell keine Ressourcen bereit stehen. Hinweise für Studierende benötigen eine verlässliche Daten- und Entscheidungsgrundlage, ohne diese fällt die Akzeptanz schwer. Eine verlässliche Datengrundlage beruht auf einem einheitlichen Kursaufbau, der die Freiheit der Lehrenden im Angebot einschränkt und Mehraufwand bedeutet. Höhrere Angriffsfläche durch mehr Schnittstellen und höhere Datenmengen.
Noch fehlende (IT-) Perspektiven:
Wer ist für die Festlegung von Sicherheitsanforderungen zuständig?
Perspektive der Dienstleister wie des OC-Systems oder KI-Dienste.
Lehrende und Studierende.</t>
  </si>
  <si>
    <t>Stakeholder</t>
  </si>
  <si>
    <t xml:space="preserve">Studienadministration </t>
  </si>
  <si>
    <t>Lehrenden</t>
  </si>
  <si>
    <t>Lehrendenvertretung</t>
  </si>
  <si>
    <t>IT &amp; Online-Campus-Team</t>
  </si>
  <si>
    <r>
      <rPr>
        <u/>
        <sz val="10"/>
        <color theme="1"/>
        <rFont val="Frutiger Next for EVN Light"/>
      </rPr>
      <t xml:space="preserve">Interessen und Erwartungen </t>
    </r>
    <r>
      <rPr>
        <sz val="10"/>
        <color theme="1"/>
        <rFont val="Frutiger Next for EVN Light"/>
        <family val="2"/>
      </rPr>
      <t xml:space="preserve">
• Verringerung der Organisatorische Anfragen. Unteranderem durch eine bessere Bereitstellung von Informationen (übersichtlicheres Informationsangebote) oder auch durch die Angabe der korrekten Ansprechperson/ weiterleiten an die richtige Ansprechperson.
• Bevorzugen den Study Buddy in bestehende Unterstützungsangebote einzubeziehen, statt zusätzliche parallele Prozesse aufzubauen. Deckt sich zum Teil mit dem Interesse des Stakeholders IT &amp; Online Campus.
</t>
    </r>
    <r>
      <rPr>
        <u/>
        <sz val="10"/>
        <color theme="1"/>
        <rFont val="Frutiger Next for EVN Light"/>
      </rPr>
      <t>Konflikte</t>
    </r>
    <r>
      <rPr>
        <sz val="10"/>
        <color theme="1"/>
        <rFont val="Frutiger Next for EVN Light"/>
        <family val="2"/>
      </rPr>
      <t xml:space="preserve">
• Veraltete Informationen können dazu führen, dass Studierende falsche Auskünfte bekommen. Wer trägt die Verantwortung für die Aktualisierung der Informationen?
• Es könnte zu einem Konflikt mit anderen Stakeholdern, beispielsweise der Studiengangsleitung oder den Lehrenden, kommen, wenn der Study Buddy Anfragen direkt an diese weiterleitet, sie sich dafür aber nicht verantwortlich sehen.</t>
    </r>
  </si>
  <si>
    <t xml:space="preserve">Interessen: Schwierigkeiten bereits in einem frühen Stadium identifizieren, Studienabbrüche vermeiden, rechtzeitig Kontakt herstellen. Erwünscht ist ein Frühwarnsystem, das bei längerer Inaktivität oder wiederholtem Versäumen von Abgaben möglichst zuverlässige Meldungen ausgibt.
Werte: Fürsorglichkeit, Studienerfolg, Verantwortung der Institution.
Konflikte:
	• Mit der Studierendenvertretung: Inaktivität als Warnsignal vs. „fehlende Logins sind nicht aussagekräftig“; Daten an die Leitung vs. Selbstbestimmung der Studierenden. Kern: Autonomie versus Fürsorge.
	• Datenschutz: Die Weitergabe von Verhaltensdaten an die Leitung erfordert eine rechtliche Grundlage (DSGVO), da das Risiko der Profilbildung besteht.
	• Zuverlässigkeit:* „Niemanden unnötig kontaktieren“ und „nichts übersehen“ stehen im Widerspruch zueinander; Login-Daten gelten im Fernstudium als schwacher Indikator.
Ungeklärte Sachverhalte: Wie ist die Bedeutung von „längerer Zeitraum“ und „wiederholt“? Wer kümmert sich um die Meldungen?
Mangelnde Perspektiven: Datenschutzbeauftragte, Studienberater, Lehrkräfte sowie die betroffenen Studierenden.
</t>
  </si>
  <si>
    <t xml:space="preserve">Interessen:
Die Lehrendenvertretung hält es grundsätzlich für sinnvoll, Studierende bei der Organisation ihres Lernens zu unterstützen. Der Study Buddy muss aber berücksichtigen, dass Lehrveranstaltungen sehr unterschiedlich aufgebaut sind: wöchentliche Aufgaben, längere Selbstlernphasen, freiwillige und verpflichtende Aktivitäten. Es muss geklärt werden, woran das System erkennt, welche Aktivitäten überhaupt relevant sind. Ebenso offen ist die Rolle der Lehrenden: Müssen sie zusätzliche Informationen pflegen, und werden sie automatisch benachrichtigt? Zusätzlicher administrativer Aufwand soll vermieden werden. Studierende sollen nicht aufgrund unvollständiger Daten falsch eingeschätzt werden. Die Lehrendenvertretung bietet an, ihre Erfahrungen einzubringen.
Werte:
Didaktische Vielfalt bzw. Gestaltungsfreiheit in der Lehre, faire Beurteilung der Studierenden, Verhältnismäßigkeit des Aufwands, klare Zuständigkeiten (Rollenklarheit), Kooperationsbereitschaft
Konflikte:
• Studiengangsleitung: Die Leitung wünscht sich Meldungen bei Inaktivität und wiederholt versäumten Abgaben. Für die Lehrenden bedeutet aber nicht jede fehlende Bearbeitung einen Lernrückstand. Außerdem fragt die Leitung selbst, wer sich um die Meldungen kümmert. Fällt diese Aufgabe den Lehrenden zu, entsteht genau der Mehraufwand, den sie vermeiden wollen.
• Studienadministration: Die Studienadministration möchte Anfragen über den Study Buddy an die richtige Ansprechperson weiterleiten. Dabei kann es zum Konflikt kommen, wenn Lehrende sich für diese Anfragen nicht zuständig sehen. Offen ist auch, wer die Informationen aktuell hält. Die Lehrenden wollen keine zusätzlichen Pflegeaufgaben übernehmen.
• Datenlogik: Ein einheitliches System braucht einheitliche Kriterien, die Lehrveranstaltungen sind aber heterogen. Damit der Study Buddy relevante von freiwilligen Aktivitäten unterscheiden kann, müsste jemand diese Information hinterlegen, und das wären wahrscheinlich die Lehrenden selbst.
• Gemeinsamkeit mit der Studierendenvertretung: Beide warnen davor, Studierende anhand unvollständiger Daten falsch einzuschätzen. Hier gibt es eher Übereinstimmung als Konflikt, was für eine gemeinsame Position gegenüber der Studiengangsleitung nützlich sein kann.
</t>
  </si>
  <si>
    <t xml:space="preserve">Wie in Mission 1 beschreiben. Detaillierte Stakeholderanalyse liegt bereits vor. </t>
  </si>
  <si>
    <t xml:space="preserve">Interessen: 
Die Studierenden sollen unterstützt werden, ohne dabei überwacht zu werden. Durch die verschiedenen Herangehensweisen (Uhrzeiten, Timings, Settings, etc.) kann anhand von Login's nicht nachvollzogen werden, ob die oder der Studierende Schwierigkeiten im Lernfortschritt hat. Durch die große Benachrichtigungsflut ist der Mehrwert einer weiteren Benachrichtigung überschaubar und müsste parametrisierbar sein um funktionell zu sein. Die sehr frühe Einbindung der Studierendenvertretung ist wünschenswert. 
Werte:
Autonomie und Selbstbestimmung, individuelle Lebenssituationen, Partizipation, Transparenz, Freiwilligkeit der Nutzung
Konflikte:
-&gt; Studiengangsleitung: Wer bestimmt welche Inaktivität und welche verpasste Abgabe als Warnsignal angesehen werden muss ? Hier steht der Wunsch nach formellen Rahmenbedingungen im Konflikt mit einer individuellen Lerngeschwindigkeit und dem Wunsch nach Selbstbestimmung.
-&gt; Datenlogik: Technische Messbarkeit legt sich beispielsweise auf Daten wie Login-Zeiträume. Nehmen sich Studierende jedoch nur einmal pro Woche ganze Tage Zeit, stehen diese automatisch am Frühwarnsystem, obwohl sie ihr Studium dahingehend organisiert haben. 
-&gt; Benachrichtigungen: Durch die Benachrichtigungsflut die Studierende tagtäglich haben, würde ein Warnsystem eventuell nur diese Flut vergrößern und somit den Merhwert ad absurdum führen.
-&gt;Partizipation am Projekt: Wird den Studierenden ein fertiges System vorgelegt,  kann das System eher als Kontrollsystem statt Unterstützungssystem angesehen werden. Die Akzeptanz und das Vertrauen wären damit gering.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</si>
</sst>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theme="1"/>
      <name val="Frutiger Next for EVN Light"/>
      <family val="2"/>
    </font>
    <font>
      <sz val="11"/>
      <color theme="1"/>
      <name val="Aptos Narrow"/>
      <family val="2"/>
      <scheme val="minor"/>
    </font>
    <font>
      <sz val="11"/>
      <color indexed="8"/>
      <name val="Aptos Narrow"/>
      <family val="2"/>
      <scheme val="minor"/>
    </font>
    <font>
      <sz val="10"/>
      <name val="Frutiger Next for EVN Light"/>
      <family val="2"/>
    </font>
    <font>
      <b/>
      <sz val="10"/>
      <color indexed="8"/>
      <name val="Frutiger Next for EVN Light"/>
      <family val="2"/>
    </font>
    <font>
      <sz val="9"/>
      <color indexed="81"/>
      <name val="Segoe UI"/>
      <family val="2"/>
    </font>
    <font>
      <b/>
      <sz val="9"/>
      <color indexed="81"/>
      <name val="Segoe UI"/>
      <family val="2"/>
    </font>
    <font>
      <b/>
      <sz val="20"/>
      <color theme="0"/>
      <name val="Frutiger Next for EVN Light"/>
      <family val="2"/>
    </font>
    <font>
      <u/>
      <sz val="10"/>
      <color theme="1"/>
      <name val="Frutiger Next for EVN Light"/>
    </font>
    <font>
      <sz val="10"/>
      <color theme="1"/>
      <name val="Frutiger Next for EVN Light"/>
    </font>
  </fonts>
  <fills count="5">
    <fill>
      <patternFill patternType="none"/>
    </fill>
    <fill>
      <patternFill patternType="gray125"/>
    </fill>
    <fill>
      <patternFill patternType="solid">
        <fgColor theme="0" tint="-0.14999847407452621"/>
        <bgColor indexed="64"/>
      </patternFill>
    </fill>
    <fill>
      <patternFill patternType="solid">
        <fgColor theme="4"/>
        <bgColor indexed="64"/>
      </patternFill>
    </fill>
    <fill>
      <patternFill patternType="solid">
        <fgColor theme="3" tint="0.89999084444715716"/>
        <bgColor indexed="64"/>
      </patternFill>
    </fill>
  </fills>
  <borders count="6">
    <border>
      <left/>
      <right/>
      <top/>
      <bottom/>
      <diagonal/>
    </border>
    <border>
      <left style="thin">
        <color indexed="64"/>
      </left>
      <right style="thin">
        <color indexed="64"/>
      </right>
      <top style="medium">
        <color indexed="64"/>
      </top>
      <bottom style="medium">
        <color auto="1"/>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s>
  <cellStyleXfs count="6">
    <xf numFmtId="0" fontId="0" fillId="0" borderId="0"/>
    <xf numFmtId="0" fontId="1" fillId="0" borderId="0"/>
    <xf numFmtId="0" fontId="2" fillId="0" borderId="0"/>
    <xf numFmtId="0" fontId="2" fillId="0" borderId="0"/>
    <xf numFmtId="0" fontId="2" fillId="0" borderId="0"/>
    <xf numFmtId="0" fontId="2" fillId="0" borderId="0"/>
  </cellStyleXfs>
  <cellXfs count="17">
    <xf numFmtId="0" fontId="0" fillId="0" borderId="0" xfId="0"/>
    <xf numFmtId="0" fontId="0" fillId="0" borderId="3" xfId="0" applyBorder="1" applyAlignment="1">
      <alignment horizontal="center" vertical="center"/>
    </xf>
    <xf numFmtId="0" fontId="0" fillId="0" borderId="3" xfId="0" applyBorder="1" applyAlignment="1">
      <alignment horizontal="left"/>
    </xf>
    <xf numFmtId="0" fontId="0" fillId="0" borderId="3" xfId="0" applyBorder="1"/>
    <xf numFmtId="0" fontId="3" fillId="0" borderId="4" xfId="0" applyFont="1" applyBorder="1" applyAlignment="1">
      <alignment horizontal="left"/>
    </xf>
    <xf numFmtId="0" fontId="4" fillId="4" borderId="1" xfId="1" applyFont="1" applyFill="1" applyBorder="1" applyAlignment="1">
      <alignment horizontal="center" vertical="center"/>
    </xf>
    <xf numFmtId="0" fontId="0" fillId="2" borderId="0" xfId="0" applyFill="1" applyAlignment="1">
      <alignment horizontal="center" vertical="center"/>
    </xf>
    <xf numFmtId="0" fontId="4" fillId="4" borderId="1" xfId="1" applyFont="1" applyFill="1" applyBorder="1" applyAlignment="1">
      <alignment horizontal="center" vertical="center" wrapText="1"/>
    </xf>
    <xf numFmtId="0" fontId="4" fillId="4" borderId="2" xfId="1" applyFont="1" applyFill="1" applyBorder="1" applyAlignment="1">
      <alignment horizontal="center" vertical="center" wrapText="1"/>
    </xf>
    <xf numFmtId="0" fontId="0" fillId="0" borderId="4" xfId="0" applyBorder="1"/>
    <xf numFmtId="0" fontId="0" fillId="0" borderId="5" xfId="0" applyBorder="1" applyAlignment="1">
      <alignment horizontal="left"/>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3" xfId="0" applyBorder="1" applyAlignment="1">
      <alignment horizontal="left" wrapText="1"/>
    </xf>
    <xf numFmtId="0" fontId="9" fillId="0" borderId="3" xfId="0" applyFont="1" applyBorder="1" applyAlignment="1">
      <alignment horizontal="left" wrapText="1"/>
    </xf>
    <xf numFmtId="0" fontId="3" fillId="0" borderId="4" xfId="0" applyFont="1" applyBorder="1" applyAlignment="1">
      <alignment horizontal="left" wrapText="1"/>
    </xf>
    <xf numFmtId="0" fontId="7" fillId="3" borderId="0" xfId="0" applyFont="1" applyFill="1" applyAlignment="1">
      <alignment horizontal="center" vertical="center"/>
    </xf>
  </cellXfs>
  <cellStyles count="6">
    <cellStyle name="Normal" xfId="0" builtinId="0"/>
    <cellStyle name="Standard 2" xfId="1" xr:uid="{AC237C7F-D685-4941-85D8-AAB88DFAC00F}"/>
    <cellStyle name="Standard 3" xfId="5" xr:uid="{7B779054-F0E3-4CF4-8A6C-E2C343A86C3D}"/>
    <cellStyle name="Standard 5" xfId="4" xr:uid="{2BE2D80A-D5DC-430C-8606-993A004CDE01}"/>
    <cellStyle name="Standard 6" xfId="2" xr:uid="{CE6327FF-39CE-41E8-9325-AC8FC8962773}"/>
    <cellStyle name="Standard 7" xfId="3" xr:uid="{4865F602-9536-43E9-8E6D-6F4DC50F8FA8}"/>
  </cellStyles>
  <dxfs count="0"/>
  <tableStyles count="0" defaultTableStyle="TableStyleMedium2" defaultPivotStyle="PivotStyleLight16"/>
  <colors>
    <mruColors>
      <color rgb="FFFF0000"/>
      <color rgb="FFFF9933"/>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'Stakeholder Analyse'!$A$1</c:f>
          <c:strCache>
            <c:ptCount val="1"/>
            <c:pt idx="0">
              <c:v>Stakeholder Analyse</c:v>
            </c:pt>
          </c:strCache>
        </c:strRef>
      </c:tx>
      <c:layout>
        <c:manualLayout>
          <c:xMode val="edge"/>
          <c:yMode val="edge"/>
          <c:x val="0.33614811111111109"/>
          <c:y val="1.625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800" b="1" i="0" u="none" strike="noStrike" kern="1200" spc="0" baseline="0">
              <a:solidFill>
                <a:schemeClr val="accent1"/>
              </a:solidFill>
              <a:latin typeface="+mn-lt"/>
              <a:ea typeface="+mn-ea"/>
              <a:cs typeface="+mn-cs"/>
            </a:defRPr>
          </a:pPr>
          <a:endParaRPr lang="de-DE"/>
        </a:p>
      </c:txPr>
    </c:title>
    <c:autoTitleDeleted val="0"/>
    <c:plotArea>
      <c:layout>
        <c:manualLayout>
          <c:layoutTarget val="inner"/>
          <c:xMode val="edge"/>
          <c:yMode val="edge"/>
          <c:x val="6.0607028074930631E-2"/>
          <c:y val="7.9848783437250298E-2"/>
          <c:w val="0.87583049155148029"/>
          <c:h val="0.84174513990488631"/>
        </c:manualLayout>
      </c:layout>
      <c:scatterChart>
        <c:scatterStyle val="lineMarker"/>
        <c:varyColors val="0"/>
        <c:ser>
          <c:idx val="0"/>
          <c:order val="0"/>
          <c:tx>
            <c:strRef>
              <c:f>'Stakeholder Analyse'!$B$7:$B$14</c:f>
              <c:strCache>
                <c:ptCount val="8"/>
                <c:pt idx="0">
                  <c:v>Studierendenvertretung</c:v>
                </c:pt>
                <c:pt idx="1">
                  <c:v>Studierende</c:v>
                </c:pt>
                <c:pt idx="2">
                  <c:v>Studiengangsleitung</c:v>
                </c:pt>
                <c:pt idx="3">
                  <c:v>Lehrendenvertretung</c:v>
                </c:pt>
                <c:pt idx="4">
                  <c:v>Lehrenden</c:v>
                </c:pt>
                <c:pt idx="5">
                  <c:v>Studienadministration </c:v>
                </c:pt>
                <c:pt idx="6">
                  <c:v>IT &amp; Online-Campus-Team</c:v>
                </c:pt>
                <c:pt idx="7">
                  <c:v>Datenschutz &amp; Informationssicherheit</c:v>
                </c:pt>
              </c:strCache>
            </c:strRef>
          </c:tx>
          <c:spPr>
            <a:ln w="25400" cap="rnd">
              <a:noFill/>
              <a:round/>
            </a:ln>
            <a:effectLst/>
          </c:spPr>
          <c:marker>
            <c:symbol val="circle"/>
            <c:size val="13"/>
            <c:spPr>
              <a:solidFill>
                <a:schemeClr val="accent1"/>
              </a:solidFill>
              <a:ln w="9525">
                <a:solidFill>
                  <a:schemeClr val="accent1"/>
                </a:solidFill>
              </a:ln>
              <a:effectLst/>
            </c:spPr>
          </c:marker>
          <c:dLbls>
            <c:dLbl>
              <c:idx val="0"/>
              <c:layout>
                <c:manualLayout>
                  <c:x val="-7.4848201170233428E-2"/>
                  <c:y val="-1.4548270415688964E-2"/>
                </c:manualLayout>
              </c:layout>
              <c:tx>
                <c:rich>
                  <a:bodyPr/>
                  <a:lstStyle/>
                  <a:p>
                    <a:fld id="{EF8AA6AF-377E-42C0-9737-BB5603DBF140}"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CC5B-4DCF-AB25-CD35030CCF87}"/>
                </c:ext>
              </c:extLst>
            </c:dLbl>
            <c:dLbl>
              <c:idx val="1"/>
              <c:tx>
                <c:rich>
                  <a:bodyPr/>
                  <a:lstStyle/>
                  <a:p>
                    <a:fld id="{A373D3F8-DD93-4808-9723-6C5273090C8A}" type="CELLRANGE">
                      <a:rPr lang="en-GB"/>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C5B-4DCF-AB25-CD35030CCF87}"/>
                </c:ext>
              </c:extLst>
            </c:dLbl>
            <c:dLbl>
              <c:idx val="2"/>
              <c:tx>
                <c:rich>
                  <a:bodyPr/>
                  <a:lstStyle/>
                  <a:p>
                    <a:fld id="{427C116F-0077-4676-9B52-E165F02720DB}"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CC5B-4DCF-AB25-CD35030CCF87}"/>
                </c:ext>
              </c:extLst>
            </c:dLbl>
            <c:dLbl>
              <c:idx val="3"/>
              <c:layout>
                <c:manualLayout>
                  <c:x val="-6.7333909195597841E-2"/>
                  <c:y val="-4.3384249250214391E-2"/>
                </c:manualLayout>
              </c:layout>
              <c:tx>
                <c:rich>
                  <a:bodyPr/>
                  <a:lstStyle/>
                  <a:p>
                    <a:fld id="{56B09897-2367-4D90-8E77-8FE6B3C52B27}"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CC5B-4DCF-AB25-CD35030CCF87}"/>
                </c:ext>
              </c:extLst>
            </c:dLbl>
            <c:dLbl>
              <c:idx val="4"/>
              <c:layout>
                <c:manualLayout>
                  <c:x val="-3.3810490327479348E-2"/>
                  <c:y val="-6.0276230476701123E-2"/>
                </c:manualLayout>
              </c:layout>
              <c:tx>
                <c:rich>
                  <a:bodyPr/>
                  <a:lstStyle/>
                  <a:p>
                    <a:fld id="{AA10DAB0-B8AD-4CD3-B6CE-F3EF6A8B421B}"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CC5B-4DCF-AB25-CD35030CCF87}"/>
                </c:ext>
              </c:extLst>
            </c:dLbl>
            <c:dLbl>
              <c:idx val="5"/>
              <c:layout>
                <c:manualLayout>
                  <c:x val="-0.14233482151070917"/>
                  <c:y val="9.6775971552223606E-3"/>
                </c:manualLayout>
              </c:layout>
              <c:tx>
                <c:rich>
                  <a:bodyPr/>
                  <a:lstStyle/>
                  <a:p>
                    <a:fld id="{DFABC862-EC89-478A-B1DE-C31255CCBE58}"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C5B-4DCF-AB25-CD35030CCF87}"/>
                </c:ext>
              </c:extLst>
            </c:dLbl>
            <c:dLbl>
              <c:idx val="6"/>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B0164EBD-C33A-43D1-9FF3-03D235F5A7FD}" type="CELLRANGE">
                      <a:rPr lang="en-US" sz="1200"/>
                      <a:pPr>
                        <a:defRPr sz="1050" b="0" i="0" u="none" strike="noStrike" kern="1200" baseline="0">
                          <a:solidFill>
                            <a:schemeClr val="tx1">
                              <a:lumMod val="75000"/>
                              <a:lumOff val="25000"/>
                            </a:schemeClr>
                          </a:solidFill>
                          <a:latin typeface="+mn-lt"/>
                          <a:ea typeface="+mn-ea"/>
                          <a:cs typeface="+mn-cs"/>
                        </a:defRPr>
                      </a:pPr>
                      <a:t>[CELLRANGE]</a:t>
                    </a:fld>
                    <a:endParaRPr lang="LID4096"/>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layout>
                    <c:manualLayout>
                      <c:w val="0.19532355555555558"/>
                      <c:h val="4.1143777777777772E-2"/>
                    </c:manualLayout>
                  </c15:layout>
                  <c15:dlblFieldTable/>
                  <c15:showDataLabelsRange val="1"/>
                </c:ext>
                <c:ext xmlns:c16="http://schemas.microsoft.com/office/drawing/2014/chart" uri="{C3380CC4-5D6E-409C-BE32-E72D297353CC}">
                  <c16:uniqueId val="{0000001C-CC5B-4DCF-AB25-CD35030CCF87}"/>
                </c:ext>
              </c:extLst>
            </c:dLbl>
            <c:dLbl>
              <c:idx val="7"/>
              <c:layout>
                <c:manualLayout>
                  <c:x val="0"/>
                  <c:y val="-3.2327504890133349E-2"/>
                </c:manualLayout>
              </c:layout>
              <c:tx>
                <c:rich>
                  <a:bodyPr/>
                  <a:lstStyle/>
                  <a:p>
                    <a:fld id="{AE9CE49C-D22B-4683-9EF4-012458E4CDC8}"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CC5B-4DCF-AB25-CD35030CCF8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de-DE"/>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'Stakeholder Analyse'!$D$7:$D$14</c:f>
              <c:numCache>
                <c:formatCode>General</c:formatCode>
                <c:ptCount val="8"/>
                <c:pt idx="0">
                  <c:v>9</c:v>
                </c:pt>
                <c:pt idx="1">
                  <c:v>10</c:v>
                </c:pt>
                <c:pt idx="2">
                  <c:v>7</c:v>
                </c:pt>
                <c:pt idx="3">
                  <c:v>9</c:v>
                </c:pt>
                <c:pt idx="4">
                  <c:v>10</c:v>
                </c:pt>
                <c:pt idx="5">
                  <c:v>7</c:v>
                </c:pt>
                <c:pt idx="6">
                  <c:v>7</c:v>
                </c:pt>
                <c:pt idx="7">
                  <c:v>10</c:v>
                </c:pt>
              </c:numCache>
            </c:numRef>
          </c:xVal>
          <c:yVal>
            <c:numRef>
              <c:f>'Stakeholder Analyse'!$E$7:$E$14</c:f>
              <c:numCache>
                <c:formatCode>General</c:formatCode>
                <c:ptCount val="8"/>
                <c:pt idx="0">
                  <c:v>7</c:v>
                </c:pt>
                <c:pt idx="1">
                  <c:v>3</c:v>
                </c:pt>
                <c:pt idx="2">
                  <c:v>10</c:v>
                </c:pt>
                <c:pt idx="3">
                  <c:v>7</c:v>
                </c:pt>
                <c:pt idx="4">
                  <c:v>7</c:v>
                </c:pt>
                <c:pt idx="5">
                  <c:v>6</c:v>
                </c:pt>
                <c:pt idx="6">
                  <c:v>8</c:v>
                </c:pt>
                <c:pt idx="7">
                  <c:v>10</c:v>
                </c:pt>
              </c:numCache>
            </c:numRef>
          </c:yVal>
          <c:smooth val="0"/>
          <c:extLst>
            <c:ext xmlns:c15="http://schemas.microsoft.com/office/drawing/2012/chart" uri="{02D57815-91ED-43cb-92C2-25804820EDAC}">
              <c15:datalabelsRange>
                <c15:f>'Stakeholder Analyse'!$B$7:$B$14</c15:f>
                <c15:dlblRangeCache>
                  <c:ptCount val="8"/>
                  <c:pt idx="0">
                    <c:v>Studierendenvertretung</c:v>
                  </c:pt>
                  <c:pt idx="1">
                    <c:v>Studierende</c:v>
                  </c:pt>
                  <c:pt idx="2">
                    <c:v>Studiengangsleitung</c:v>
                  </c:pt>
                  <c:pt idx="3">
                    <c:v>Lehrendenvertretung</c:v>
                  </c:pt>
                  <c:pt idx="4">
                    <c:v>Lehrenden</c:v>
                  </c:pt>
                  <c:pt idx="5">
                    <c:v>Studienadministration </c:v>
                  </c:pt>
                  <c:pt idx="6">
                    <c:v>IT &amp; Online-Campus-Team</c:v>
                  </c:pt>
                  <c:pt idx="7">
                    <c:v>Datenschutz &amp; Informationssicherheit</c:v>
                  </c:pt>
                </c15:dlblRangeCache>
              </c15:datalabelsRange>
            </c:ext>
            <c:ext xmlns:c16="http://schemas.microsoft.com/office/drawing/2014/chart" uri="{C3380CC4-5D6E-409C-BE32-E72D297353CC}">
              <c16:uniqueId val="{00000000-CC5B-4DCF-AB25-CD35030CCF87}"/>
            </c:ext>
          </c:extLst>
        </c:ser>
        <c:ser>
          <c:idx val="1"/>
          <c:order val="1"/>
          <c:tx>
            <c:strRef>
              <c:f>'Stakeholder Analyse'!$D$83</c:f>
              <c:strCache>
                <c:ptCount val="1"/>
                <c:pt idx="0">
                  <c:v>Mittel-Achsen:</c:v>
                </c:pt>
              </c:strCache>
            </c:strRef>
          </c:tx>
          <c:spPr>
            <a:ln w="25400" cap="rnd">
              <a:noFill/>
              <a:round/>
            </a:ln>
            <a:effectLst/>
          </c:spPr>
          <c:marker>
            <c:symbol val="circle"/>
            <c:size val="5"/>
            <c:spPr>
              <a:noFill/>
              <a:ln w="9525">
                <a:noFill/>
              </a:ln>
              <a:effectLst/>
            </c:spPr>
          </c:marker>
          <c:errBars>
            <c:errDir val="x"/>
            <c:errBarType val="both"/>
            <c:errValType val="percentage"/>
            <c:noEndCap val="1"/>
            <c:val val="100"/>
            <c:spPr>
              <a:noFill/>
              <a:ln w="28575" cap="flat" cmpd="sng" algn="ctr">
                <a:gradFill>
                  <a:gsLst>
                    <a:gs pos="79000">
                      <a:srgbClr val="FF8000"/>
                    </a:gs>
                    <a:gs pos="100000">
                      <a:srgbClr val="FF0000"/>
                    </a:gs>
                    <a:gs pos="60000">
                      <a:srgbClr val="FFFF00"/>
                    </a:gs>
                    <a:gs pos="0">
                      <a:schemeClr val="accent6"/>
                    </a:gs>
                  </a:gsLst>
                  <a:lin ang="4800000" scaled="0"/>
                </a:gradFill>
                <a:round/>
                <a:headEnd type="none"/>
                <a:tailEnd type="none"/>
              </a:ln>
              <a:effectLst/>
            </c:spPr>
          </c:errBars>
          <c:errBars>
            <c:errDir val="y"/>
            <c:errBarType val="both"/>
            <c:errValType val="percentage"/>
            <c:noEndCap val="1"/>
            <c:val val="100"/>
            <c:spPr>
              <a:noFill/>
              <a:ln w="28575" cap="flat" cmpd="sng" algn="ctr">
                <a:gradFill>
                  <a:gsLst>
                    <a:gs pos="0">
                      <a:srgbClr val="FF0000"/>
                    </a:gs>
                    <a:gs pos="41000">
                      <a:srgbClr val="FFFF00"/>
                    </a:gs>
                    <a:gs pos="20000">
                      <a:srgbClr val="FF9933"/>
                    </a:gs>
                    <a:gs pos="100000">
                      <a:schemeClr val="accent6"/>
                    </a:gs>
                  </a:gsLst>
                  <a:lin ang="5400000" scaled="1"/>
                </a:gradFill>
                <a:round/>
                <a:tailEnd type="none"/>
              </a:ln>
              <a:effectLst/>
            </c:spPr>
          </c:errBars>
          <c:xVal>
            <c:numRef>
              <c:f>'Stakeholder Analyse'!$E$83</c:f>
              <c:numCache>
                <c:formatCode>General</c:formatCode>
                <c:ptCount val="1"/>
                <c:pt idx="0">
                  <c:v>5</c:v>
                </c:pt>
              </c:numCache>
            </c:numRef>
          </c:xVal>
          <c:yVal>
            <c:numRef>
              <c:f>'Stakeholder Analyse'!$E$83</c:f>
              <c:numCache>
                <c:formatCode>General</c:formatCode>
                <c:ptCount val="1"/>
                <c:pt idx="0">
                  <c:v>5</c:v>
                </c:pt>
              </c:numCache>
            </c:numRef>
          </c:yVal>
          <c:smooth val="0"/>
          <c:extLst>
            <c:ext xmlns:c16="http://schemas.microsoft.com/office/drawing/2014/chart" uri="{C3380CC4-5D6E-409C-BE32-E72D297353CC}">
              <c16:uniqueId val="{00000002-CC5B-4DCF-AB25-CD35030CCF87}"/>
            </c:ext>
          </c:extLst>
        </c:ser>
        <c:dLbls>
          <c:showLegendKey val="0"/>
          <c:showVal val="0"/>
          <c:showCatName val="0"/>
          <c:showSerName val="0"/>
          <c:showPercent val="0"/>
          <c:showBubbleSize val="0"/>
        </c:dLbls>
        <c:axId val="1259906224"/>
        <c:axId val="1259910064"/>
      </c:scatterChart>
      <c:valAx>
        <c:axId val="1259906224"/>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lgn="ctr" rtl="0">
                  <a:defRPr lang="en-US" sz="2000" b="1" i="0" u="none" strike="noStrike" kern="1200" baseline="0">
                    <a:solidFill>
                      <a:sysClr val="windowText" lastClr="000000">
                        <a:lumMod val="65000"/>
                        <a:lumOff val="35000"/>
                      </a:sysClr>
                    </a:solidFill>
                    <a:latin typeface="+mn-lt"/>
                    <a:ea typeface="+mn-ea"/>
                    <a:cs typeface="+mn-cs"/>
                  </a:defRPr>
                </a:pPr>
                <a:r>
                  <a:rPr lang="en-US" sz="2000" b="1" i="0" u="none" strike="noStrike" kern="1200" baseline="0">
                    <a:solidFill>
                      <a:sysClr val="windowText" lastClr="000000">
                        <a:lumMod val="65000"/>
                        <a:lumOff val="35000"/>
                      </a:sysClr>
                    </a:solidFill>
                    <a:latin typeface="+mn-lt"/>
                    <a:ea typeface="+mn-ea"/>
                    <a:cs typeface="+mn-cs"/>
                  </a:rPr>
                  <a:t>Auswirkung</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9910064"/>
        <c:crosses val="autoZero"/>
        <c:crossBetween val="midCat"/>
      </c:valAx>
      <c:valAx>
        <c:axId val="1259910064"/>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Einfluss</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99062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c:spPr>
  <c:txPr>
    <a:bodyPr/>
    <a:lstStyle/>
    <a:p>
      <a:pPr>
        <a:defRPr/>
      </a:pPr>
      <a:endParaRPr lang="de-DE"/>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283264</xdr:colOff>
      <xdr:row>16</xdr:row>
      <xdr:rowOff>86590</xdr:rowOff>
    </xdr:from>
    <xdr:to>
      <xdr:col>6</xdr:col>
      <xdr:colOff>710764</xdr:colOff>
      <xdr:row>74</xdr:row>
      <xdr:rowOff>46499</xdr:rowOff>
    </xdr:to>
    <xdr:graphicFrame macro="">
      <xdr:nvGraphicFramePr>
        <xdr:cNvPr id="2" name="Diagramm 1">
          <a:extLst>
            <a:ext uri="{FF2B5EF4-FFF2-40B4-BE49-F238E27FC236}">
              <a16:creationId xmlns:a16="http://schemas.microsoft.com/office/drawing/2014/main" id="{5990ED62-1088-5FF6-F9F3-83E020B4A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F25E-7711-480F-9283-574AB1707FF0}">
  <dimension ref="A1:G83"/>
  <sheetViews>
    <sheetView showGridLines="0" tabSelected="1" zoomScale="115" zoomScaleNormal="115" workbookViewId="0">
      <pane ySplit="6" topLeftCell="A36" activePane="bottomLeft" state="frozen"/>
      <selection pane="bottomLeft" activeCell="G7" sqref="G7"/>
    </sheetView>
  </sheetViews>
  <sheetFormatPr defaultColWidth="11.42578125" defaultRowHeight="12.75"/>
  <cols>
    <col min="1" max="1" width="3.42578125" customWidth="1"/>
    <col min="2" max="2" width="20.85546875" customWidth="1"/>
    <col min="3" max="3" width="100" customWidth="1"/>
    <col min="4" max="4" width="12.42578125" customWidth="1"/>
    <col min="5" max="5" width="10.5703125" customWidth="1"/>
    <col min="6" max="6" width="18.42578125" customWidth="1"/>
    <col min="7" max="7" width="17.5703125" customWidth="1"/>
  </cols>
  <sheetData>
    <row r="1" spans="1:7">
      <c r="A1" s="16" t="s">
        <v>0</v>
      </c>
      <c r="B1" s="16"/>
      <c r="C1" s="16"/>
      <c r="D1" s="16"/>
      <c r="E1" s="16"/>
      <c r="F1" s="16"/>
      <c r="G1" s="16"/>
    </row>
    <row r="2" spans="1:7">
      <c r="A2" s="16"/>
      <c r="B2" s="16"/>
      <c r="C2" s="16"/>
      <c r="D2" s="16"/>
      <c r="E2" s="16"/>
      <c r="F2" s="16"/>
      <c r="G2" s="16"/>
    </row>
    <row r="3" spans="1:7">
      <c r="A3" s="16"/>
      <c r="B3" s="16"/>
      <c r="C3" s="16"/>
      <c r="D3" s="16"/>
      <c r="E3" s="16"/>
      <c r="F3" s="16"/>
      <c r="G3" s="16"/>
    </row>
    <row r="4" spans="1:7">
      <c r="A4" s="16"/>
      <c r="B4" s="16"/>
      <c r="C4" s="16"/>
      <c r="D4" s="16"/>
      <c r="E4" s="16"/>
      <c r="F4" s="16"/>
      <c r="G4" s="16"/>
    </row>
    <row r="5" spans="1:7" ht="13.5" thickBot="1"/>
    <row r="6" spans="1:7" ht="39" thickBot="1">
      <c r="B6" s="5" t="s">
        <v>13</v>
      </c>
      <c r="C6" s="5" t="s">
        <v>1</v>
      </c>
      <c r="D6" s="7" t="s">
        <v>2</v>
      </c>
      <c r="E6" s="7" t="s">
        <v>3</v>
      </c>
      <c r="F6" s="7" t="s">
        <v>4</v>
      </c>
      <c r="G6" s="8" t="s">
        <v>5</v>
      </c>
    </row>
    <row r="7" spans="1:7" ht="293.25">
      <c r="B7" s="4" t="s">
        <v>7</v>
      </c>
      <c r="C7" s="15" t="s">
        <v>22</v>
      </c>
      <c r="D7" s="9">
        <v>9</v>
      </c>
      <c r="E7" s="9">
        <v>7</v>
      </c>
      <c r="F7" s="9">
        <v>9</v>
      </c>
      <c r="G7" s="10">
        <f>E7-D7</f>
        <v>-2</v>
      </c>
    </row>
    <row r="8" spans="1:7" ht="42" customHeight="1">
      <c r="B8" s="2" t="s">
        <v>10</v>
      </c>
      <c r="C8" s="4" t="s">
        <v>21</v>
      </c>
      <c r="D8" s="9">
        <v>10</v>
      </c>
      <c r="E8" s="9">
        <v>3</v>
      </c>
      <c r="F8" s="9">
        <v>3</v>
      </c>
      <c r="G8" s="10">
        <f t="shared" ref="G8:G14" si="0">E8-D8</f>
        <v>-7</v>
      </c>
    </row>
    <row r="9" spans="1:7" ht="303" customHeight="1">
      <c r="B9" s="2" t="s">
        <v>8</v>
      </c>
      <c r="C9" s="13" t="s">
        <v>19</v>
      </c>
      <c r="D9" s="3">
        <v>7</v>
      </c>
      <c r="E9" s="3">
        <v>10</v>
      </c>
      <c r="F9" s="3">
        <v>10</v>
      </c>
      <c r="G9" s="10">
        <f t="shared" si="0"/>
        <v>3</v>
      </c>
    </row>
    <row r="10" spans="1:7" ht="369.75">
      <c r="B10" s="2" t="s">
        <v>16</v>
      </c>
      <c r="C10" s="13" t="s">
        <v>20</v>
      </c>
      <c r="D10" s="3">
        <v>9</v>
      </c>
      <c r="E10" s="3">
        <v>7</v>
      </c>
      <c r="F10" s="3">
        <v>9</v>
      </c>
      <c r="G10" s="10">
        <f t="shared" si="0"/>
        <v>-2</v>
      </c>
    </row>
    <row r="11" spans="1:7">
      <c r="B11" s="2" t="s">
        <v>15</v>
      </c>
      <c r="C11" s="4" t="s">
        <v>21</v>
      </c>
      <c r="D11" s="3">
        <v>10</v>
      </c>
      <c r="E11" s="3">
        <v>7</v>
      </c>
      <c r="F11" s="3">
        <v>10</v>
      </c>
      <c r="G11" s="10">
        <f t="shared" si="0"/>
        <v>-3</v>
      </c>
    </row>
    <row r="12" spans="1:7" ht="165.75">
      <c r="B12" s="11" t="s">
        <v>14</v>
      </c>
      <c r="C12" s="14" t="s">
        <v>18</v>
      </c>
      <c r="D12" s="3">
        <v>7</v>
      </c>
      <c r="E12" s="3">
        <v>6</v>
      </c>
      <c r="F12" s="3">
        <v>8</v>
      </c>
      <c r="G12" s="10">
        <f t="shared" si="0"/>
        <v>-1</v>
      </c>
    </row>
    <row r="13" spans="1:7" ht="216.75">
      <c r="B13" s="12" t="s">
        <v>17</v>
      </c>
      <c r="C13" s="13" t="s">
        <v>12</v>
      </c>
      <c r="D13" s="1">
        <v>7</v>
      </c>
      <c r="E13" s="1">
        <v>8</v>
      </c>
      <c r="F13" s="1">
        <v>9</v>
      </c>
      <c r="G13" s="10">
        <f t="shared" si="0"/>
        <v>1</v>
      </c>
    </row>
    <row r="14" spans="1:7" ht="191.25">
      <c r="B14" s="12" t="s">
        <v>9</v>
      </c>
      <c r="C14" s="12" t="s">
        <v>11</v>
      </c>
      <c r="D14" s="3">
        <v>10</v>
      </c>
      <c r="E14" s="3">
        <v>10</v>
      </c>
      <c r="F14" s="3">
        <v>10</v>
      </c>
      <c r="G14" s="10">
        <f t="shared" si="0"/>
        <v>0</v>
      </c>
    </row>
    <row r="83" spans="4:5">
      <c r="D83" s="6" t="s">
        <v>6</v>
      </c>
      <c r="E83" s="6">
        <v>5</v>
      </c>
    </row>
  </sheetData>
  <autoFilter ref="C6:G14" xr:uid="{4A7CF25E-7711-480F-9283-574AB1707FF0}"/>
  <mergeCells count="1">
    <mergeCell ref="A1:G4"/>
  </mergeCells>
  <conditionalFormatting sqref="G7:G14">
    <cfRule type="colorScale" priority="69">
      <colorScale>
        <cfvo type="min"/>
        <cfvo type="percentile" val="50"/>
        <cfvo type="max"/>
        <color rgb="FFF8696B"/>
        <color rgb="FFFFEB84"/>
        <color rgb="FF63BE7B"/>
      </colorScale>
    </cfRule>
    <cfRule type="colorScale" priority="70">
      <colorScale>
        <cfvo type="min"/>
        <cfvo type="percentile" val="2"/>
        <cfvo type="max"/>
        <color rgb="FFF8696B"/>
        <color rgb="FFFFEB84"/>
        <color rgb="FF63BE7B"/>
      </colorScale>
    </cfRule>
  </conditionalFormatting>
  <pageMargins left="0.7" right="0.7" top="0.78740157499999996" bottom="0.78740157499999996" header="0.3" footer="0.3"/>
  <pageSetup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7A9B859129DF4F92015801575A1B89" ma:contentTypeVersion="3" ma:contentTypeDescription="Create a new document." ma:contentTypeScope="" ma:versionID="bde5a8a3f2fcafcc6a288c1016c919aa">
  <xsd:schema xmlns:xsd="http://www.w3.org/2001/XMLSchema" xmlns:xs="http://www.w3.org/2001/XMLSchema" xmlns:p="http://schemas.microsoft.com/office/2006/metadata/properties" xmlns:ns2="fe351c47-b417-47db-9cdf-7353339f0b00" targetNamespace="http://schemas.microsoft.com/office/2006/metadata/properties" ma:root="true" ma:fieldsID="db2bf75c0f5e8a8636431ab00ad1cca4" ns2:_="">
    <xsd:import namespace="fe351c47-b417-47db-9cdf-7353339f0b0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351c47-b417-47db-9cdf-7353339f0b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C96D3A-842E-47C2-96C1-11565CCCE5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351c47-b417-47db-9cdf-7353339f0b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408F5E-A533-43F5-B6C0-764D24E207E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AE14945-2D7D-4C82-B3E0-1E2097BFA55F}">
  <ds:schemaRefs>
    <ds:schemaRef ds:uri="http://schemas.microsoft.com/sharepoint/v3/contenttype/forms"/>
  </ds:schemaRefs>
</ds:datastoreItem>
</file>

<file path=docMetadata/LabelInfo.xml><?xml version="1.0" encoding="utf-8"?>
<clbl:labelList xmlns:clbl="http://schemas.microsoft.com/office/2020/mipLabelMetadata">
  <clbl:label id="{2d8b24e5-b9a4-4e15-ba29-0d61d2b19ad1}" enabled="1" method="Standard" siteId="{7d463204-c9c5-402a-a1c6-f7bbe8e5ee14}"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Stakeholder Analyse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Schmuck-Längle Franziska</dc:creator>
  <cp:keywords/>
  <dc:description/>
  <cp:lastModifiedBy>Stefan Brezina</cp:lastModifiedBy>
  <cp:revision/>
  <cp:lastPrinted>2026-10-23T11:01:55Z</cp:lastPrinted>
  <dcterms:created xsi:type="dcterms:W3CDTF">2026-07-31T06:28:19Z</dcterms:created>
  <dcterms:modified xsi:type="dcterms:W3CDTF">2026-10-23T11:20:59Z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0x010100B27A9B859129DF4F92015801575A1B89</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